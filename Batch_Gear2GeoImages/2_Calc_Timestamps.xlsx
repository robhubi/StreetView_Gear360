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impleCalc" sheetId="1" r:id="rId1"/>
    <sheet name="SubSecCalc" sheetId="2" r:id="rId2"/>
  </sheets>
  <definedNames>
    <definedName name="IncrTime" localSheetId="0">SimpleCalc!$F$17</definedName>
    <definedName name="IncrTime" localSheetId="1">SubSecCalc!$F$53</definedName>
    <definedName name="Korrektur">SubSecCalc!$K$63</definedName>
    <definedName name="No_1" comment="Bildnummer der ersten fotogr. Zeit" localSheetId="0">SimpleCalc!$A$16</definedName>
    <definedName name="No_1" localSheetId="1">SubSecCalc!$A$52</definedName>
    <definedName name="No_2" comment="Bildnummer der letzten fotogr. Zeit" localSheetId="0">SimpleCalc!$A$17</definedName>
    <definedName name="NO_2" localSheetId="1">SubSecCalc!$A$53</definedName>
    <definedName name="PhotTime1" comment="Erste fotohrafierte Zeit" localSheetId="0">SimpleCalc!$B$16</definedName>
    <definedName name="PhotTime1" localSheetId="1">SubSecCalc!$B$52</definedName>
    <definedName name="PhotTime2" comment="letzte fotografierte Zeit" localSheetId="0">SimpleCalc!$B$17</definedName>
    <definedName name="PhotTime2" localSheetId="1">SubSecCalc!$B$53</definedName>
    <definedName name="solver_adj" localSheetId="0" hidden="1">SimpleCalc!$B$16</definedName>
    <definedName name="solver_adj" localSheetId="1" hidden="1">SubSecCalc!$K$63</definedName>
    <definedName name="solver_cvg" localSheetId="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SimpleCalc!#REF!</definedName>
    <definedName name="solver_lhs1" localSheetId="1" hidden="1">SubSecCalc!$K$63</definedName>
    <definedName name="solver_lhs2" localSheetId="0" hidden="1">SimpleCalc!#REF!</definedName>
    <definedName name="solver_lhs2" localSheetId="1" hidden="1">SubSecCalc!$K$63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SimpleCalc!$F$17</definedName>
    <definedName name="solver_opt" localSheetId="1" hidden="1">SubSecCalc!$I$44</definedName>
    <definedName name="solver_pre" localSheetId="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1</definedName>
    <definedName name="solver_rel2" localSheetId="0" hidden="1">3</definedName>
    <definedName name="solver_rel2" localSheetId="1" hidden="1">3</definedName>
    <definedName name="solver_rhs1" localSheetId="0" hidden="1">-1</definedName>
    <definedName name="solver_rhs1" localSheetId="1" hidden="1">1</definedName>
    <definedName name="solver_rhs2" localSheetId="0" hidden="1">-1</definedName>
    <definedName name="solver_rhs2" localSheetId="1" hidden="1">-1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1</definedName>
    <definedName name="solver_tol" localSheetId="1" hidden="1">1</definedName>
    <definedName name="solver_typ" localSheetId="0" hidden="1">3</definedName>
    <definedName name="solver_typ" localSheetId="1" hidden="1">2</definedName>
    <definedName name="solver_val" localSheetId="0" hidden="1">1.081236</definedName>
    <definedName name="solver_val" localSheetId="1" hidden="1">0</definedName>
    <definedName name="solver_ver" localSheetId="0" hidden="1">3</definedName>
    <definedName name="solver_ver" localSheetId="1" hidden="1">3</definedName>
    <definedName name="StartDate" localSheetId="1">SubSecCalc!$B$19</definedName>
    <definedName name="StartDate">SimpleCalc!$B$13</definedName>
    <definedName name="StartTime" localSheetId="1">SubSecCalc!#REF!</definedName>
    <definedName name="StartTime">SimpleCalc!$B$23</definedName>
    <definedName name="StartTime_corr">SubSecCalc!$K$64</definedName>
    <definedName name="Sum_Diff1" comment="Summe1 der Abweichungen (Abs)" localSheetId="1">SubSecCalc!$D$42</definedName>
    <definedName name="Sum_Diff2" comment="Summe2 der Abweichungen (Abs)" localSheetId="1">SubSecCalc!$I$42</definedName>
    <definedName name="TotSum_Diff" comment="Gesamtsumme der Abweichungen" localSheetId="1">SubSecCalc!$I$44</definedName>
  </definedNames>
  <calcPr calcId="152511"/>
</workbook>
</file>

<file path=xl/calcChain.xml><?xml version="1.0" encoding="utf-8"?>
<calcChain xmlns="http://schemas.openxmlformats.org/spreadsheetml/2006/main">
  <c r="B53" i="2" l="1"/>
  <c r="B52" i="2"/>
  <c r="C53" i="2" l="1"/>
  <c r="D53" i="2" s="1"/>
  <c r="E53" i="2"/>
  <c r="F53" i="2" l="1"/>
  <c r="B60" i="2" l="1"/>
  <c r="K64" i="2" s="1"/>
  <c r="K67" i="2" s="1"/>
  <c r="B61" i="2"/>
  <c r="H28" i="2"/>
  <c r="I28" i="2" s="1"/>
  <c r="H34" i="2"/>
  <c r="I34" i="2" s="1"/>
  <c r="C24" i="2"/>
  <c r="D24" i="2" s="1"/>
  <c r="C30" i="2"/>
  <c r="D30" i="2" s="1"/>
  <c r="C36" i="2"/>
  <c r="D36" i="2" s="1"/>
  <c r="C22" i="2"/>
  <c r="D22" i="2" s="1"/>
  <c r="H37" i="2"/>
  <c r="I37" i="2" s="1"/>
  <c r="C39" i="2"/>
  <c r="D39" i="2" s="1"/>
  <c r="H22" i="2"/>
  <c r="I22" i="2" s="1"/>
  <c r="C40" i="2"/>
  <c r="D40" i="2" s="1"/>
  <c r="H23" i="2"/>
  <c r="I23" i="2" s="1"/>
  <c r="H29" i="2"/>
  <c r="I29" i="2" s="1"/>
  <c r="H35" i="2"/>
  <c r="I35" i="2" s="1"/>
  <c r="C25" i="2"/>
  <c r="D25" i="2" s="1"/>
  <c r="C31" i="2"/>
  <c r="D31" i="2" s="1"/>
  <c r="C37" i="2"/>
  <c r="D37" i="2" s="1"/>
  <c r="H24" i="2"/>
  <c r="I24" i="2" s="1"/>
  <c r="H30" i="2"/>
  <c r="I30" i="2" s="1"/>
  <c r="H36" i="2"/>
  <c r="I36" i="2" s="1"/>
  <c r="C26" i="2"/>
  <c r="D26" i="2" s="1"/>
  <c r="C32" i="2"/>
  <c r="D32" i="2" s="1"/>
  <c r="C38" i="2"/>
  <c r="D38" i="2" s="1"/>
  <c r="H25" i="2"/>
  <c r="I25" i="2" s="1"/>
  <c r="H31" i="2"/>
  <c r="I31" i="2" s="1"/>
  <c r="C27" i="2"/>
  <c r="D27" i="2" s="1"/>
  <c r="C33" i="2"/>
  <c r="D33" i="2" s="1"/>
  <c r="H32" i="2"/>
  <c r="I32" i="2" s="1"/>
  <c r="C34" i="2"/>
  <c r="D34" i="2" s="1"/>
  <c r="H27" i="2"/>
  <c r="I27" i="2" s="1"/>
  <c r="H33" i="2"/>
  <c r="I33" i="2" s="1"/>
  <c r="C23" i="2"/>
  <c r="D23" i="2" s="1"/>
  <c r="C29" i="2"/>
  <c r="D29" i="2" s="1"/>
  <c r="C35" i="2"/>
  <c r="D35" i="2" s="1"/>
  <c r="C41" i="2"/>
  <c r="D41" i="2" s="1"/>
  <c r="H26" i="2"/>
  <c r="I26" i="2" s="1"/>
  <c r="C28" i="2"/>
  <c r="D28" i="2" s="1"/>
  <c r="K66" i="2"/>
  <c r="I42" i="2" l="1"/>
  <c r="D42" i="2"/>
  <c r="K68" i="2"/>
  <c r="I44" i="2" l="1"/>
  <c r="E17" i="1" l="1"/>
  <c r="C17" i="1"/>
  <c r="D17" i="1" s="1"/>
  <c r="F17" i="1" l="1"/>
  <c r="B23" i="1" s="1"/>
  <c r="G31" i="1" s="1"/>
  <c r="B24" i="1" l="1"/>
  <c r="G30" i="1"/>
</calcChain>
</file>

<file path=xl/comments1.xml><?xml version="1.0" encoding="utf-8"?>
<comments xmlns="http://schemas.openxmlformats.org/spreadsheetml/2006/main">
  <authors>
    <author>Autor</author>
  </authors>
  <commentList>
    <comment ref="A13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YYYY:MM:DD z.B.: 2025:09:19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19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YYYY:MM:DD z.B.: 2025:09:19</t>
        </r>
      </text>
    </comment>
  </commentList>
</comments>
</file>

<file path=xl/sharedStrings.xml><?xml version="1.0" encoding="utf-8"?>
<sst xmlns="http://schemas.openxmlformats.org/spreadsheetml/2006/main" count="54" uniqueCount="27">
  <si>
    <t>Bild_Nr</t>
  </si>
  <si>
    <t>N_diff</t>
  </si>
  <si>
    <t>Zeit_diff</t>
  </si>
  <si>
    <t>DT_sek</t>
  </si>
  <si>
    <t>dt_sek</t>
  </si>
  <si>
    <t>incrtime=</t>
  </si>
  <si>
    <t>starttime=</t>
  </si>
  <si>
    <t>StartDate</t>
  </si>
  <si>
    <t xml:space="preserve"> &gt;&gt;</t>
  </si>
  <si>
    <t>2025:12:05</t>
  </si>
  <si>
    <t>Zeit im Foto</t>
  </si>
  <si>
    <t xml:space="preserve"> &lt; berechnete Zeit letztes Bild (opt.)</t>
  </si>
  <si>
    <t xml:space="preserve"> &lt; berechnete Zeit 1. Bild = StartTime</t>
  </si>
  <si>
    <r>
      <t>einfügen in Batch "</t>
    </r>
    <r>
      <rPr>
        <b/>
        <sz val="11"/>
        <color theme="1"/>
        <rFont val="Calibri"/>
        <family val="2"/>
        <scheme val="minor"/>
      </rPr>
      <t>3_Set_Timestamps</t>
    </r>
    <r>
      <rPr>
        <sz val="11"/>
        <color theme="1"/>
        <rFont val="Calibri"/>
        <family val="2"/>
        <scheme val="minor"/>
      </rPr>
      <t>"</t>
    </r>
  </si>
  <si>
    <t>subsec=</t>
  </si>
  <si>
    <t xml:space="preserve">Summe_Diff: </t>
  </si>
  <si>
    <t>korr. Werte</t>
  </si>
  <si>
    <t>StartTime_corr</t>
  </si>
  <si>
    <t>Lösung mit "Solver"!</t>
  </si>
  <si>
    <t>sek</t>
  </si>
  <si>
    <t>Korrektur:</t>
  </si>
  <si>
    <t>Diff_sek</t>
  </si>
  <si>
    <t>Zeit Berechn_korr</t>
  </si>
  <si>
    <t>TotSum_Diff:</t>
  </si>
  <si>
    <t>SubSecTimeOriginal (Bsp.: = "48" von "12:04:01.48")</t>
  </si>
  <si>
    <t xml:space="preserve"> &lt;&lt; Datum eingeben (YYYY:MM:DD)!</t>
  </si>
  <si>
    <t>2025:12:27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</si>
</sst>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"/>
    <numFmt numFmtId="166" formatCode="0.000000"/>
    <numFmt numFmtId="167" formatCode="[$-F400]h:mm:ss\ AM/PM"/>
    <numFmt numFmtId="168" formatCode="hh:mm:ss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 Unicode MS"/>
      <family val="2"/>
    </font>
    <font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2" applyNumberFormat="0" applyAlignment="0" applyProtection="0"/>
    <xf numFmtId="0" fontId="3" fillId="3" borderId="3" applyNumberFormat="0" applyAlignment="0" applyProtection="0"/>
  </cellStyleXfs>
  <cellXfs count="33">
    <xf numFmtId="0" fontId="0" fillId="0" borderId="0" xfId="0"/>
    <xf numFmtId="2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 applyFont="1"/>
    <xf numFmtId="0" fontId="1" fillId="0" borderId="1" xfId="0" applyFont="1" applyBorder="1" applyAlignment="1">
      <alignment horizontal="center"/>
    </xf>
    <xf numFmtId="0" fontId="2" fillId="2" borderId="2" xfId="1"/>
    <xf numFmtId="21" fontId="2" fillId="2" borderId="2" xfId="1" applyNumberFormat="1"/>
    <xf numFmtId="49" fontId="2" fillId="2" borderId="2" xfId="1" applyNumberFormat="1"/>
    <xf numFmtId="166" fontId="3" fillId="3" borderId="3" xfId="2" applyNumberFormat="1"/>
    <xf numFmtId="167" fontId="0" fillId="0" borderId="0" xfId="0" applyNumberFormat="1"/>
    <xf numFmtId="167" fontId="1" fillId="0" borderId="0" xfId="0" applyNumberFormat="1" applyFont="1"/>
    <xf numFmtId="0" fontId="3" fillId="3" borderId="3" xfId="2" applyAlignment="1">
      <alignment horizontal="right"/>
    </xf>
    <xf numFmtId="2" fontId="1" fillId="0" borderId="4" xfId="0" applyNumberFormat="1" applyFont="1" applyBorder="1"/>
    <xf numFmtId="167" fontId="0" fillId="0" borderId="4" xfId="0" applyNumberFormat="1" applyBorder="1" applyAlignment="1">
      <alignment horizontal="right"/>
    </xf>
    <xf numFmtId="0" fontId="0" fillId="0" borderId="4" xfId="0" applyBorder="1"/>
    <xf numFmtId="2" fontId="0" fillId="0" borderId="0" xfId="0" applyNumberFormat="1"/>
    <xf numFmtId="0" fontId="0" fillId="4" borderId="0" xfId="0" applyFill="1" applyAlignment="1">
      <alignment vertical="center"/>
    </xf>
    <xf numFmtId="0" fontId="6" fillId="4" borderId="0" xfId="0" applyFont="1" applyFill="1"/>
    <xf numFmtId="168" fontId="0" fillId="0" borderId="0" xfId="0" applyNumberFormat="1"/>
    <xf numFmtId="0" fontId="0" fillId="0" borderId="0" xfId="0" applyAlignment="1">
      <alignment horizontal="right"/>
    </xf>
    <xf numFmtId="0" fontId="0" fillId="5" borderId="0" xfId="0" applyFill="1"/>
    <xf numFmtId="0" fontId="0" fillId="5" borderId="0" xfId="0" applyNumberFormat="1" applyFill="1"/>
    <xf numFmtId="0" fontId="1" fillId="0" borderId="1" xfId="0" applyFont="1" applyBorder="1" applyAlignment="1">
      <alignment horizontal="left"/>
    </xf>
    <xf numFmtId="21" fontId="7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right"/>
    </xf>
    <xf numFmtId="21" fontId="8" fillId="2" borderId="2" xfId="1" applyNumberFormat="1" applyFont="1"/>
    <xf numFmtId="168" fontId="1" fillId="0" borderId="0" xfId="0" applyNumberFormat="1" applyFont="1"/>
    <xf numFmtId="168" fontId="0" fillId="0" borderId="0" xfId="0" applyNumberFormat="1" applyFont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 vertical="center" wrapText="1"/>
    </xf>
  </cellXfs>
  <cellStyles count="3">
    <cellStyle name="Ausgabe" xfId="2" builtinId="21"/>
    <cellStyle name="Eingabe" xfId="1" builtinId="20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57149</xdr:rowOff>
    </xdr:from>
    <xdr:to>
      <xdr:col>10</xdr:col>
      <xdr:colOff>1057275</xdr:colOff>
      <xdr:row>4</xdr:row>
      <xdr:rowOff>123824</xdr:rowOff>
    </xdr:to>
    <xdr:sp macro="" textlink="">
      <xdr:nvSpPr>
        <xdr:cNvPr id="2" name="Textfeld 1"/>
        <xdr:cNvSpPr txBox="1"/>
      </xdr:nvSpPr>
      <xdr:spPr>
        <a:xfrm>
          <a:off x="66675" y="57149"/>
          <a:ext cx="7886700" cy="8286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1400" b="1"/>
            <a:t>Aus 2 Bildern mit fotografierter GPS-Uhr und N-Frames dazwischen</a:t>
          </a:r>
          <a:r>
            <a:rPr lang="de-AT" sz="1400" b="1" baseline="0"/>
            <a:t> das Zeitinkrement berechen</a:t>
          </a:r>
        </a:p>
        <a:p>
          <a:pPr algn="ctr"/>
          <a:r>
            <a:rPr lang="de-AT" sz="1400" b="0" i="1" baseline="0"/>
            <a:t>incrtime</a:t>
          </a:r>
          <a:r>
            <a:rPr lang="de-AT" sz="1400" b="0" baseline="0"/>
            <a:t> in sek mit 6 Stellen nach </a:t>
          </a:r>
          <a:r>
            <a:rPr lang="de-AT" sz="1400" b="1" baseline="0"/>
            <a:t>Kommapunkt</a:t>
          </a:r>
          <a:r>
            <a:rPr lang="de-AT" sz="1400" b="0" baseline="0"/>
            <a:t>; </a:t>
          </a:r>
          <a:r>
            <a:rPr lang="de-AT" sz="1400" b="0" i="1" baseline="0"/>
            <a:t>StartDate </a:t>
          </a:r>
          <a:r>
            <a:rPr lang="de-AT" sz="1400" b="0" baseline="0"/>
            <a:t>im Format YYYY:MM:DD</a:t>
          </a:r>
        </a:p>
        <a:p>
          <a:pPr algn="ctr"/>
          <a:r>
            <a:rPr lang="de-AT" sz="1400" b="0" baseline="0"/>
            <a:t>Eingabefelder sind orange unterlegt</a:t>
          </a:r>
          <a:endParaRPr lang="de-AT" sz="1400" b="0"/>
        </a:p>
      </xdr:txBody>
    </xdr:sp>
    <xdr:clientData/>
  </xdr:twoCellAnchor>
  <xdr:twoCellAnchor>
    <xdr:from>
      <xdr:col>0</xdr:col>
      <xdr:colOff>0</xdr:colOff>
      <xdr:row>6</xdr:row>
      <xdr:rowOff>171451</xdr:rowOff>
    </xdr:from>
    <xdr:to>
      <xdr:col>8</xdr:col>
      <xdr:colOff>409575</xdr:colOff>
      <xdr:row>11</xdr:row>
      <xdr:rowOff>76201</xdr:rowOff>
    </xdr:to>
    <xdr:sp macro="" textlink="">
      <xdr:nvSpPr>
        <xdr:cNvPr id="3" name="Textfeld 2"/>
        <xdr:cNvSpPr txBox="1"/>
      </xdr:nvSpPr>
      <xdr:spPr>
        <a:xfrm>
          <a:off x="0" y="1123951"/>
          <a:ext cx="6086475" cy="8572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400" b="1"/>
            <a:t>1.) Bild-Indizes für die Repräsentanten der beiden GPS-Uhr Bildreihen wählen</a:t>
          </a:r>
        </a:p>
        <a:p>
          <a:r>
            <a:rPr lang="de-AT" sz="1100"/>
            <a:t>Sofern eine längere Reihe von Bildern mit der GPS-Uhr</a:t>
          </a:r>
          <a:r>
            <a:rPr lang="de-AT" sz="1100" baseline="0"/>
            <a:t> vorliegt, sollte ein Bild in der Mitte zwischen 2 Zeitsprünge (Anzeige springt um 1s mehr als üblich) gewählt werden. </a:t>
          </a:r>
        </a:p>
        <a:p>
          <a:r>
            <a:rPr lang="de-AT" sz="1100" baseline="0"/>
            <a:t>Hintergrund s. Blatt "SubSecCalc".</a:t>
          </a:r>
          <a:endParaRPr lang="de-AT" sz="1100"/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8</xdr:col>
      <xdr:colOff>409575</xdr:colOff>
      <xdr:row>21</xdr:row>
      <xdr:rowOff>114300</xdr:rowOff>
    </xdr:to>
    <xdr:sp macro="" textlink="">
      <xdr:nvSpPr>
        <xdr:cNvPr id="5" name="Textfeld 4"/>
        <xdr:cNvSpPr txBox="1"/>
      </xdr:nvSpPr>
      <xdr:spPr>
        <a:xfrm>
          <a:off x="0" y="3619500"/>
          <a:ext cx="6086475" cy="495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400" b="1"/>
            <a:t>2.) Zeitstempel für erstes und letztes Bild berechnen</a:t>
          </a:r>
        </a:p>
        <a:p>
          <a:r>
            <a:rPr lang="de-AT" sz="1100"/>
            <a:t>Das erste Bild hat immer Index=0, für das letzte Bild ist der Index anzugeben (otional)</a:t>
          </a:r>
        </a:p>
      </xdr:txBody>
    </xdr:sp>
    <xdr:clientData/>
  </xdr:twoCellAnchor>
  <xdr:twoCellAnchor>
    <xdr:from>
      <xdr:col>0</xdr:col>
      <xdr:colOff>19050</xdr:colOff>
      <xdr:row>26</xdr:row>
      <xdr:rowOff>0</xdr:rowOff>
    </xdr:from>
    <xdr:to>
      <xdr:col>8</xdr:col>
      <xdr:colOff>428625</xdr:colOff>
      <xdr:row>28</xdr:row>
      <xdr:rowOff>47625</xdr:rowOff>
    </xdr:to>
    <xdr:sp macro="" textlink="">
      <xdr:nvSpPr>
        <xdr:cNvPr id="6" name="Textfeld 5"/>
        <xdr:cNvSpPr txBox="1"/>
      </xdr:nvSpPr>
      <xdr:spPr>
        <a:xfrm>
          <a:off x="19050" y="4953000"/>
          <a:ext cx="6086475" cy="4286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de-AT" sz="1400" b="1"/>
            <a:t>3.) Ergebnisse in den Batch-File "3_Set_Timestamps" übertragen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57149</xdr:rowOff>
    </xdr:from>
    <xdr:to>
      <xdr:col>10</xdr:col>
      <xdr:colOff>495300</xdr:colOff>
      <xdr:row>12</xdr:row>
      <xdr:rowOff>171450</xdr:rowOff>
    </xdr:to>
    <xdr:sp macro="" textlink="">
      <xdr:nvSpPr>
        <xdr:cNvPr id="2" name="Textfeld 1"/>
        <xdr:cNvSpPr txBox="1"/>
      </xdr:nvSpPr>
      <xdr:spPr>
        <a:xfrm>
          <a:off x="66675" y="57149"/>
          <a:ext cx="7153275" cy="240030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1400" b="1"/>
            <a:t>Aus 2 Zeitstempeln-Reihen und N-Frames dazwischen</a:t>
          </a:r>
          <a:r>
            <a:rPr lang="de-AT" sz="1400" b="1" baseline="0"/>
            <a:t> das Zeitinkrement berechen</a:t>
          </a:r>
        </a:p>
        <a:p>
          <a:pPr algn="ctr"/>
          <a:r>
            <a:rPr lang="de-AT" sz="1400" b="0" baseline="0"/>
            <a:t>Wenn die GPS-Zeit auf sek gerundet wird und das Fotointervall etwas größer als 1s ist, tritt ein Zeitsprung mit der Schwebungsfrequenz  im fotogr. Bild der GPS-Uhr auf. Dieser Sprung tritt immer auf, wenn zwischen den Fotos die 0,5s Rundungsgrenze überschritten wird. Damit kann  kann der Sub-Sekundenwert abgeschätzt werden.</a:t>
          </a:r>
        </a:p>
        <a:p>
          <a:pPr algn="ctr"/>
          <a:endParaRPr lang="de-AT" sz="1400" b="0" baseline="0"/>
        </a:p>
        <a:p>
          <a:pPr algn="ctr"/>
          <a:r>
            <a:rPr lang="de-AT" sz="1400" b="1" baseline="0"/>
            <a:t>Resümee</a:t>
          </a:r>
        </a:p>
        <a:p>
          <a:pPr algn="ctr"/>
          <a:r>
            <a:rPr lang="de-AT" sz="1400" b="1" baseline="0"/>
            <a:t>Der Aufwand lohnt sich nicht. Viel einfacher ist es, Referenzbilder in der Mitte zwischen 2 Zeitsprüngen zu nehmen, weil dort die Sub-Sekunden etwa 0 sind.</a:t>
          </a:r>
        </a:p>
      </xdr:txBody>
    </xdr:sp>
    <xdr:clientData/>
  </xdr:twoCellAnchor>
  <xdr:twoCellAnchor>
    <xdr:from>
      <xdr:col>0</xdr:col>
      <xdr:colOff>19050</xdr:colOff>
      <xdr:row>14</xdr:row>
      <xdr:rowOff>0</xdr:rowOff>
    </xdr:from>
    <xdr:to>
      <xdr:col>9</xdr:col>
      <xdr:colOff>9525</xdr:colOff>
      <xdr:row>16</xdr:row>
      <xdr:rowOff>133350</xdr:rowOff>
    </xdr:to>
    <xdr:sp macro="" textlink="">
      <xdr:nvSpPr>
        <xdr:cNvPr id="3" name="Textfeld 2"/>
        <xdr:cNvSpPr txBox="1"/>
      </xdr:nvSpPr>
      <xdr:spPr>
        <a:xfrm>
          <a:off x="19050" y="2667000"/>
          <a:ext cx="6105525" cy="514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400" b="1"/>
            <a:t>1.) Die beiden Reihen mit der fotogr. GPS-Zeit hier eintragen (orange Felder)</a:t>
          </a:r>
        </a:p>
        <a:p>
          <a:r>
            <a:rPr lang="de-AT" sz="1100"/>
            <a:t>Der Index des ersten Uhrbildes kann beliebig sein (&gt;=0)</a:t>
          </a:r>
        </a:p>
      </xdr:txBody>
    </xdr:sp>
    <xdr:clientData/>
  </xdr:twoCellAnchor>
  <xdr:twoCellAnchor>
    <xdr:from>
      <xdr:col>0</xdr:col>
      <xdr:colOff>19050</xdr:colOff>
      <xdr:row>46</xdr:row>
      <xdr:rowOff>0</xdr:rowOff>
    </xdr:from>
    <xdr:to>
      <xdr:col>8</xdr:col>
      <xdr:colOff>600075</xdr:colOff>
      <xdr:row>48</xdr:row>
      <xdr:rowOff>123825</xdr:rowOff>
    </xdr:to>
    <xdr:sp macro="" textlink="">
      <xdr:nvSpPr>
        <xdr:cNvPr id="4" name="Textfeld 3"/>
        <xdr:cNvSpPr txBox="1"/>
      </xdr:nvSpPr>
      <xdr:spPr>
        <a:xfrm>
          <a:off x="19050" y="8772525"/>
          <a:ext cx="6086475" cy="5048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400" b="1"/>
            <a:t>2.) Bild-Indizes für die Repräsentanten der beiden Uhrbildreihen wählen</a:t>
          </a:r>
        </a:p>
        <a:p>
          <a:r>
            <a:rPr lang="de-AT" sz="1100"/>
            <a:t>Die Indezes müssen im Bereich der obigen Tabellen liegen</a:t>
          </a:r>
        </a:p>
      </xdr:txBody>
    </xdr:sp>
    <xdr:clientData/>
  </xdr:twoCellAnchor>
  <xdr:twoCellAnchor>
    <xdr:from>
      <xdr:col>0</xdr:col>
      <xdr:colOff>19050</xdr:colOff>
      <xdr:row>55</xdr:row>
      <xdr:rowOff>9526</xdr:rowOff>
    </xdr:from>
    <xdr:to>
      <xdr:col>8</xdr:col>
      <xdr:colOff>600075</xdr:colOff>
      <xdr:row>57</xdr:row>
      <xdr:rowOff>123826</xdr:rowOff>
    </xdr:to>
    <xdr:sp macro="" textlink="">
      <xdr:nvSpPr>
        <xdr:cNvPr id="5" name="Textfeld 4"/>
        <xdr:cNvSpPr txBox="1"/>
      </xdr:nvSpPr>
      <xdr:spPr>
        <a:xfrm>
          <a:off x="19050" y="10496551"/>
          <a:ext cx="6086475" cy="495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400" b="1"/>
            <a:t>3.) Für Kontrollzwecke: Zeitstempel für erstes und letztes Bild berechenen</a:t>
          </a:r>
        </a:p>
        <a:p>
          <a:r>
            <a:rPr lang="de-AT" sz="1100"/>
            <a:t>Das erste Bild hat immer Index=0, für das letzte Bild ist der Index anzugeben (oranges Feld)</a:t>
          </a:r>
        </a:p>
      </xdr:txBody>
    </xdr:sp>
    <xdr:clientData/>
  </xdr:twoCellAnchor>
  <xdr:twoCellAnchor>
    <xdr:from>
      <xdr:col>9</xdr:col>
      <xdr:colOff>38100</xdr:colOff>
      <xdr:row>59</xdr:row>
      <xdr:rowOff>0</xdr:rowOff>
    </xdr:from>
    <xdr:to>
      <xdr:col>18</xdr:col>
      <xdr:colOff>342900</xdr:colOff>
      <xdr:row>60</xdr:row>
      <xdr:rowOff>171450</xdr:rowOff>
    </xdr:to>
    <xdr:sp macro="" textlink="">
      <xdr:nvSpPr>
        <xdr:cNvPr id="6" name="Textfeld 5"/>
        <xdr:cNvSpPr txBox="1"/>
      </xdr:nvSpPr>
      <xdr:spPr>
        <a:xfrm>
          <a:off x="6153150" y="11249025"/>
          <a:ext cx="6086475" cy="3619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400" b="1"/>
            <a:t>4.) Korrektur mit Solver ermitteln und die Werte in den Batch-File</a:t>
          </a:r>
          <a:r>
            <a:rPr lang="de-AT" sz="1400" b="1" baseline="0"/>
            <a:t> übertragen</a:t>
          </a:r>
          <a:endParaRPr lang="de-AT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3:H68"/>
  <sheetViews>
    <sheetView tabSelected="1" topLeftCell="A10" workbookViewId="0">
      <selection activeCell="G31" sqref="G31"/>
    </sheetView>
  </sheetViews>
  <sheetFormatPr baseColWidth="10" defaultColWidth="9.140625" defaultRowHeight="15" x14ac:dyDescent="0.25"/>
  <cols>
    <col min="1" max="1" width="10.140625" customWidth="1"/>
    <col min="2" max="2" width="11.85546875" customWidth="1"/>
    <col min="4" max="4" width="9.5703125" bestFit="1" customWidth="1"/>
    <col min="6" max="6" width="11" customWidth="1"/>
    <col min="7" max="7" width="20.42578125" customWidth="1"/>
    <col min="8" max="8" width="3.85546875" customWidth="1"/>
    <col min="11" max="11" width="16.28515625" customWidth="1"/>
  </cols>
  <sheetData>
    <row r="13" spans="1:6" x14ac:dyDescent="0.25">
      <c r="A13" s="4" t="s">
        <v>7</v>
      </c>
      <c r="B13" s="9" t="s">
        <v>26</v>
      </c>
      <c r="D13" t="s">
        <v>25</v>
      </c>
    </row>
    <row r="15" spans="1:6" x14ac:dyDescent="0.25">
      <c r="A15" s="6" t="s">
        <v>0</v>
      </c>
      <c r="B15" s="6" t="s">
        <v>10</v>
      </c>
      <c r="C15" s="6" t="s">
        <v>2</v>
      </c>
      <c r="D15" s="6" t="s">
        <v>3</v>
      </c>
      <c r="E15" s="6" t="s">
        <v>1</v>
      </c>
      <c r="F15" s="6" t="s">
        <v>4</v>
      </c>
    </row>
    <row r="16" spans="1:6" x14ac:dyDescent="0.25">
      <c r="A16" s="7">
        <v>1</v>
      </c>
      <c r="B16" s="8">
        <v>0.50601851851851853</v>
      </c>
    </row>
    <row r="17" spans="1:8" x14ac:dyDescent="0.25">
      <c r="A17" s="7">
        <v>38</v>
      </c>
      <c r="B17" s="8">
        <v>0.50648148148148142</v>
      </c>
      <c r="C17" s="1">
        <f>B17-B16</f>
        <v>4.629629629628873E-4</v>
      </c>
      <c r="D17" s="3">
        <f>C17*24*3600</f>
        <v>39.999999999993463</v>
      </c>
      <c r="E17">
        <f>A17-A16</f>
        <v>37</v>
      </c>
      <c r="F17" s="5">
        <f>D17/E17</f>
        <v>1.0810810810809044</v>
      </c>
    </row>
    <row r="18" spans="1:8" x14ac:dyDescent="0.25">
      <c r="C18" s="1"/>
      <c r="D18" s="3"/>
      <c r="F18" s="5"/>
    </row>
    <row r="19" spans="1:8" x14ac:dyDescent="0.25">
      <c r="C19" s="1"/>
      <c r="D19" s="3"/>
      <c r="F19" s="5"/>
    </row>
    <row r="20" spans="1:8" x14ac:dyDescent="0.25">
      <c r="C20" s="1"/>
      <c r="D20" s="3"/>
      <c r="F20" s="5"/>
    </row>
    <row r="21" spans="1:8" x14ac:dyDescent="0.25">
      <c r="C21" s="1"/>
      <c r="D21" s="3"/>
      <c r="F21" s="5"/>
    </row>
    <row r="22" spans="1:8" x14ac:dyDescent="0.25">
      <c r="C22" s="1"/>
      <c r="D22" s="3"/>
      <c r="F22" s="5"/>
    </row>
    <row r="23" spans="1:8" x14ac:dyDescent="0.25">
      <c r="A23">
        <v>0</v>
      </c>
      <c r="B23" s="12">
        <f>PhotTime1+(A23-No_1)*IncrTime/24/3600</f>
        <v>0.50600600600600598</v>
      </c>
      <c r="D23" s="4" t="s">
        <v>12</v>
      </c>
    </row>
    <row r="24" spans="1:8" x14ac:dyDescent="0.25">
      <c r="A24" s="7">
        <v>39</v>
      </c>
      <c r="B24" s="11">
        <f>$B$16+(A24-$A$16)*$F$17/24/3600</f>
        <v>0.50649399399399397</v>
      </c>
      <c r="D24" t="s">
        <v>11</v>
      </c>
    </row>
    <row r="29" spans="1:8" x14ac:dyDescent="0.25">
      <c r="A29" s="1"/>
      <c r="B29" s="1"/>
      <c r="C29" s="1"/>
    </row>
    <row r="30" spans="1:8" ht="15" customHeight="1" x14ac:dyDescent="0.25">
      <c r="E30" t="s">
        <v>8</v>
      </c>
      <c r="F30" s="4" t="s">
        <v>5</v>
      </c>
      <c r="G30" s="10">
        <f>IncrTime</f>
        <v>1.0810810810809044</v>
      </c>
      <c r="H30" t="s">
        <v>8</v>
      </c>
    </row>
    <row r="31" spans="1:8" x14ac:dyDescent="0.25">
      <c r="E31" t="s">
        <v>8</v>
      </c>
      <c r="F31" s="4" t="s">
        <v>6</v>
      </c>
      <c r="G31" s="13" t="str">
        <f>StartDate&amp;" "&amp;TEXT(StartTime,"hh:mm:ss")</f>
        <v>2025:12:27 12:08:39</v>
      </c>
      <c r="H31" t="s">
        <v>8</v>
      </c>
    </row>
    <row r="32" spans="1:8" x14ac:dyDescent="0.25">
      <c r="F32" s="4"/>
    </row>
    <row r="36" ht="15" customHeight="1" x14ac:dyDescent="0.25"/>
    <row r="38" ht="15.75" customHeight="1" x14ac:dyDescent="0.25"/>
    <row r="67" spans="2:2" x14ac:dyDescent="0.25">
      <c r="B67" s="1"/>
    </row>
    <row r="68" spans="2:2" x14ac:dyDescent="0.25">
      <c r="B68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7:Q80"/>
  <sheetViews>
    <sheetView topLeftCell="A19" workbookViewId="0">
      <selection activeCell="D19" sqref="D19"/>
    </sheetView>
  </sheetViews>
  <sheetFormatPr baseColWidth="10" defaultColWidth="9.140625" defaultRowHeight="15" x14ac:dyDescent="0.25"/>
  <cols>
    <col min="1" max="1" width="8.7109375" customWidth="1"/>
    <col min="2" max="2" width="11.85546875" customWidth="1"/>
    <col min="3" max="3" width="11.140625" customWidth="1"/>
    <col min="4" max="4" width="9.5703125" bestFit="1" customWidth="1"/>
    <col min="6" max="6" width="9.140625" customWidth="1"/>
    <col min="7" max="7" width="11" customWidth="1"/>
    <col min="8" max="8" width="12" customWidth="1"/>
    <col min="11" max="11" width="17.85546875" bestFit="1" customWidth="1"/>
    <col min="12" max="12" width="4.85546875" customWidth="1"/>
  </cols>
  <sheetData>
    <row r="17" spans="1:9" x14ac:dyDescent="0.25">
      <c r="D17" s="2"/>
    </row>
    <row r="18" spans="1:9" ht="15" customHeight="1" x14ac:dyDescent="0.25">
      <c r="D18" s="2"/>
    </row>
    <row r="19" spans="1:9" ht="15" customHeight="1" x14ac:dyDescent="0.25">
      <c r="A19" s="4" t="s">
        <v>7</v>
      </c>
      <c r="B19" s="9" t="s">
        <v>9</v>
      </c>
      <c r="D19" t="s">
        <v>25</v>
      </c>
    </row>
    <row r="20" spans="1:9" ht="15" customHeight="1" x14ac:dyDescent="0.35">
      <c r="A20" s="25"/>
      <c r="C20" s="1"/>
      <c r="D20" s="1"/>
    </row>
    <row r="21" spans="1:9" x14ac:dyDescent="0.25">
      <c r="A21" s="6" t="s">
        <v>0</v>
      </c>
      <c r="B21" s="6" t="s">
        <v>10</v>
      </c>
      <c r="C21" s="24" t="s">
        <v>22</v>
      </c>
      <c r="D21" s="6" t="s">
        <v>21</v>
      </c>
      <c r="F21" s="6" t="s">
        <v>0</v>
      </c>
      <c r="G21" s="6" t="s">
        <v>10</v>
      </c>
      <c r="H21" s="24" t="s">
        <v>22</v>
      </c>
      <c r="I21" s="6" t="s">
        <v>21</v>
      </c>
    </row>
    <row r="22" spans="1:9" x14ac:dyDescent="0.25">
      <c r="A22" s="7">
        <v>1</v>
      </c>
      <c r="B22" s="8">
        <v>0.5028125</v>
      </c>
      <c r="C22" s="30">
        <f t="shared" ref="C22:C41" si="0">PhotTime1+(A22-No_1)*IncrTime/24/3600+Korrektur/24/3600</f>
        <v>0.50281064691883104</v>
      </c>
      <c r="D22" s="17">
        <f>ABS((C22-B22)*24*3600)</f>
        <v>0.16010621299784589</v>
      </c>
      <c r="F22" s="7">
        <v>874</v>
      </c>
      <c r="G22" s="8">
        <v>0.513738425925926</v>
      </c>
      <c r="H22" s="30">
        <f t="shared" ref="H22:H37" si="1">PhotTime1+(F22-No_1)*IncrTime/24/3600+Korrektur/24/3600</f>
        <v>0.51373563261677158</v>
      </c>
      <c r="I22" s="17">
        <f>ABS((H22-G22)*24*3600)</f>
        <v>0.2413419109423387</v>
      </c>
    </row>
    <row r="23" spans="1:9" x14ac:dyDescent="0.25">
      <c r="A23" s="7">
        <v>2</v>
      </c>
      <c r="B23" s="8">
        <v>0.50282407407407403</v>
      </c>
      <c r="C23" s="30">
        <f t="shared" si="0"/>
        <v>0.50282316122089055</v>
      </c>
      <c r="D23" s="17">
        <f t="shared" ref="D23:D41" si="2">ABS((C23-B23)*24*3600)</f>
        <v>7.8870515053353074E-2</v>
      </c>
      <c r="F23" s="7">
        <v>875</v>
      </c>
      <c r="G23" s="8">
        <v>0.51375000000000004</v>
      </c>
      <c r="H23" s="30">
        <f t="shared" si="1"/>
        <v>0.51374814691883108</v>
      </c>
      <c r="I23" s="17">
        <f t="shared" ref="I23:I37" si="3">ABS((H23-G23)*24*3600)</f>
        <v>0.16010621299784589</v>
      </c>
    </row>
    <row r="24" spans="1:9" x14ac:dyDescent="0.25">
      <c r="A24" s="7">
        <v>3</v>
      </c>
      <c r="B24" s="8">
        <v>0.50283564814814818</v>
      </c>
      <c r="C24" s="30">
        <f t="shared" si="0"/>
        <v>0.50283567552295005</v>
      </c>
      <c r="D24" s="17">
        <f t="shared" si="2"/>
        <v>2.3651828815474119E-3</v>
      </c>
      <c r="F24" s="7">
        <v>876</v>
      </c>
      <c r="G24" s="8">
        <v>0.51376157407407397</v>
      </c>
      <c r="H24" s="30">
        <f t="shared" si="1"/>
        <v>0.51376066122089059</v>
      </c>
      <c r="I24" s="17">
        <f t="shared" si="3"/>
        <v>7.8870515043760747E-2</v>
      </c>
    </row>
    <row r="25" spans="1:9" ht="15" customHeight="1" x14ac:dyDescent="0.25">
      <c r="A25" s="7">
        <v>4</v>
      </c>
      <c r="B25" s="8">
        <v>0.502847222222222</v>
      </c>
      <c r="C25" s="30">
        <f t="shared" si="0"/>
        <v>0.50284818982500956</v>
      </c>
      <c r="D25" s="17">
        <f t="shared" si="2"/>
        <v>8.3600880845224879E-2</v>
      </c>
      <c r="F25" s="7">
        <v>877</v>
      </c>
      <c r="G25" s="8">
        <v>0.51377314814814801</v>
      </c>
      <c r="H25" s="30">
        <f t="shared" si="1"/>
        <v>0.5137731755229501</v>
      </c>
      <c r="I25" s="17">
        <f t="shared" si="3"/>
        <v>2.3651829007320657E-3</v>
      </c>
    </row>
    <row r="26" spans="1:9" x14ac:dyDescent="0.25">
      <c r="A26" s="7">
        <v>5</v>
      </c>
      <c r="B26" s="8">
        <v>0.50285879629629604</v>
      </c>
      <c r="C26" s="30">
        <f t="shared" si="0"/>
        <v>0.50286070412706907</v>
      </c>
      <c r="D26" s="17">
        <f t="shared" si="2"/>
        <v>0.16483657878971769</v>
      </c>
      <c r="F26" s="7">
        <v>878</v>
      </c>
      <c r="G26" s="28">
        <v>0.51378472222222205</v>
      </c>
      <c r="H26" s="30">
        <f t="shared" si="1"/>
        <v>0.51378568982500961</v>
      </c>
      <c r="I26" s="17">
        <f t="shared" si="3"/>
        <v>8.3600880845224879E-2</v>
      </c>
    </row>
    <row r="27" spans="1:9" ht="15.75" customHeight="1" x14ac:dyDescent="0.25">
      <c r="A27" s="7">
        <v>6</v>
      </c>
      <c r="B27" s="8">
        <v>0.50287037037037097</v>
      </c>
      <c r="C27" s="30">
        <f t="shared" si="0"/>
        <v>0.50287321842912858</v>
      </c>
      <c r="D27" s="17">
        <f t="shared" si="2"/>
        <v>0.24607227665747189</v>
      </c>
      <c r="F27" s="7">
        <v>879</v>
      </c>
      <c r="G27" s="28">
        <v>0.51380787037037035</v>
      </c>
      <c r="H27" s="30">
        <f t="shared" si="1"/>
        <v>0.51379820412706911</v>
      </c>
      <c r="I27" s="17">
        <f t="shared" si="3"/>
        <v>0.83516342122642584</v>
      </c>
    </row>
    <row r="28" spans="1:9" x14ac:dyDescent="0.25">
      <c r="A28" s="7">
        <v>7</v>
      </c>
      <c r="B28" s="8">
        <v>0.50288194444444501</v>
      </c>
      <c r="C28" s="30">
        <f t="shared" si="0"/>
        <v>0.50288573273118797</v>
      </c>
      <c r="D28" s="17">
        <f t="shared" si="2"/>
        <v>0.32730797459237237</v>
      </c>
      <c r="F28" s="7">
        <v>880</v>
      </c>
      <c r="G28" s="8">
        <v>0.5138194444444445</v>
      </c>
      <c r="H28" s="30">
        <f t="shared" si="1"/>
        <v>0.51381071842912862</v>
      </c>
      <c r="I28" s="17">
        <f t="shared" si="3"/>
        <v>0.75392772329152535</v>
      </c>
    </row>
    <row r="29" spans="1:9" x14ac:dyDescent="0.25">
      <c r="A29" s="7">
        <v>8</v>
      </c>
      <c r="B29" s="8">
        <v>0.50289351851851904</v>
      </c>
      <c r="C29" s="30">
        <f t="shared" si="0"/>
        <v>0.50289824703324748</v>
      </c>
      <c r="D29" s="17">
        <f t="shared" si="2"/>
        <v>0.40854367253686519</v>
      </c>
      <c r="F29" s="7">
        <v>881</v>
      </c>
      <c r="G29" s="8">
        <v>0.51383101851851898</v>
      </c>
      <c r="H29" s="30">
        <f t="shared" si="1"/>
        <v>0.51382323273118802</v>
      </c>
      <c r="I29" s="17">
        <f t="shared" si="3"/>
        <v>0.67269202539499418</v>
      </c>
    </row>
    <row r="30" spans="1:9" x14ac:dyDescent="0.25">
      <c r="A30" s="7">
        <v>9</v>
      </c>
      <c r="B30" s="8">
        <v>0.50290509259259297</v>
      </c>
      <c r="C30" s="29">
        <f t="shared" si="0"/>
        <v>0.50291076133530699</v>
      </c>
      <c r="D30" s="17">
        <f t="shared" si="2"/>
        <v>0.48977937049095033</v>
      </c>
      <c r="F30" s="7">
        <v>882</v>
      </c>
      <c r="G30" s="8">
        <v>0.51384259259259302</v>
      </c>
      <c r="H30" s="30">
        <f t="shared" si="1"/>
        <v>0.51383574703324753</v>
      </c>
      <c r="I30" s="17">
        <f t="shared" si="3"/>
        <v>0.59145632745050136</v>
      </c>
    </row>
    <row r="31" spans="1:9" x14ac:dyDescent="0.25">
      <c r="A31" s="7">
        <v>10</v>
      </c>
      <c r="B31" s="8">
        <v>0.50291666666666701</v>
      </c>
      <c r="C31" s="29">
        <f t="shared" si="0"/>
        <v>0.5029232756373665</v>
      </c>
      <c r="D31" s="17">
        <f t="shared" si="2"/>
        <v>0.57101506843544314</v>
      </c>
      <c r="F31" s="7">
        <v>883</v>
      </c>
      <c r="G31" s="8">
        <v>0.51385416666666694</v>
      </c>
      <c r="H31" s="29">
        <f t="shared" si="1"/>
        <v>0.51384826133530703</v>
      </c>
      <c r="I31" s="17">
        <f t="shared" si="3"/>
        <v>0.51022062949641622</v>
      </c>
    </row>
    <row r="32" spans="1:9" x14ac:dyDescent="0.25">
      <c r="A32" s="7">
        <v>11</v>
      </c>
      <c r="B32" s="8">
        <v>0.50292824074074105</v>
      </c>
      <c r="C32" s="30">
        <f t="shared" si="0"/>
        <v>0.502935789939426</v>
      </c>
      <c r="D32" s="17">
        <f t="shared" si="2"/>
        <v>0.65225076637993595</v>
      </c>
      <c r="F32" s="7">
        <v>884</v>
      </c>
      <c r="G32" s="8">
        <v>0.51386574074074098</v>
      </c>
      <c r="H32" s="29">
        <f t="shared" si="1"/>
        <v>0.51386077563736654</v>
      </c>
      <c r="I32" s="17">
        <f t="shared" si="3"/>
        <v>0.42898493155192341</v>
      </c>
    </row>
    <row r="33" spans="1:9" x14ac:dyDescent="0.25">
      <c r="A33" s="7">
        <v>12</v>
      </c>
      <c r="B33" s="8">
        <v>0.50293981481481498</v>
      </c>
      <c r="C33" s="30">
        <f t="shared" si="0"/>
        <v>0.50294830424148551</v>
      </c>
      <c r="D33" s="17">
        <f t="shared" si="2"/>
        <v>0.73348646433402109</v>
      </c>
      <c r="F33" s="7">
        <v>885</v>
      </c>
      <c r="G33" s="8">
        <v>0.51387731481481502</v>
      </c>
      <c r="H33" s="30">
        <f t="shared" si="1"/>
        <v>0.51387328993942605</v>
      </c>
      <c r="I33" s="17">
        <f t="shared" si="3"/>
        <v>0.3477492336074306</v>
      </c>
    </row>
    <row r="34" spans="1:9" x14ac:dyDescent="0.25">
      <c r="A34" s="7">
        <v>13</v>
      </c>
      <c r="B34" s="28">
        <v>0.50295138888888891</v>
      </c>
      <c r="C34" s="30">
        <f t="shared" si="0"/>
        <v>0.50296081854354502</v>
      </c>
      <c r="D34" s="17">
        <f t="shared" si="2"/>
        <v>0.81472216228810623</v>
      </c>
      <c r="F34" s="7">
        <v>886</v>
      </c>
      <c r="G34" s="8">
        <v>0.51388888888888895</v>
      </c>
      <c r="H34" s="30">
        <f t="shared" si="1"/>
        <v>0.51388580424148556</v>
      </c>
      <c r="I34" s="17">
        <f t="shared" si="3"/>
        <v>0.26651353565334546</v>
      </c>
    </row>
    <row r="35" spans="1:9" x14ac:dyDescent="0.25">
      <c r="A35" s="7">
        <v>14</v>
      </c>
      <c r="B35" s="28">
        <v>0.50297453703703698</v>
      </c>
      <c r="C35" s="30">
        <f t="shared" si="0"/>
        <v>0.50297333284560453</v>
      </c>
      <c r="D35" s="17">
        <f t="shared" si="2"/>
        <v>0.10404213976435983</v>
      </c>
      <c r="F35" s="7">
        <v>887</v>
      </c>
      <c r="G35" s="8">
        <v>0.51390046296296399</v>
      </c>
      <c r="H35" s="30">
        <f t="shared" si="1"/>
        <v>0.51389831854354506</v>
      </c>
      <c r="I35" s="17">
        <f t="shared" si="3"/>
        <v>0.18527783779518359</v>
      </c>
    </row>
    <row r="36" spans="1:9" x14ac:dyDescent="0.25">
      <c r="A36" s="7">
        <v>15</v>
      </c>
      <c r="B36" s="8">
        <v>0.50298611111111102</v>
      </c>
      <c r="C36" s="30">
        <f t="shared" si="0"/>
        <v>0.50298584714766403</v>
      </c>
      <c r="D36" s="17">
        <f t="shared" si="2"/>
        <v>2.2806441819867018E-2</v>
      </c>
      <c r="F36" s="7">
        <v>888</v>
      </c>
      <c r="G36" s="8">
        <v>0.51391203703703803</v>
      </c>
      <c r="H36" s="30">
        <f t="shared" si="1"/>
        <v>0.51391083284560457</v>
      </c>
      <c r="I36" s="17">
        <f t="shared" si="3"/>
        <v>0.10404213985069077</v>
      </c>
    </row>
    <row r="37" spans="1:9" x14ac:dyDescent="0.25">
      <c r="A37" s="7">
        <v>16</v>
      </c>
      <c r="B37" s="8">
        <v>0.50299768518518495</v>
      </c>
      <c r="C37" s="30">
        <f t="shared" si="0"/>
        <v>0.50299836144972354</v>
      </c>
      <c r="D37" s="17">
        <f t="shared" si="2"/>
        <v>5.8429256134218122E-2</v>
      </c>
      <c r="F37" s="7">
        <v>889</v>
      </c>
      <c r="G37" s="8">
        <v>0.51392361111111196</v>
      </c>
      <c r="H37" s="30">
        <f t="shared" si="1"/>
        <v>0.51392334714766408</v>
      </c>
      <c r="I37" s="17">
        <f t="shared" si="3"/>
        <v>2.2806441896605634E-2</v>
      </c>
    </row>
    <row r="38" spans="1:9" x14ac:dyDescent="0.25">
      <c r="A38" s="7">
        <v>17</v>
      </c>
      <c r="B38" s="8">
        <v>0.50300925925925899</v>
      </c>
      <c r="C38" s="30">
        <f t="shared" si="0"/>
        <v>0.50301087575178294</v>
      </c>
      <c r="D38" s="17">
        <f t="shared" si="2"/>
        <v>0.13966495406911861</v>
      </c>
      <c r="H38" s="11"/>
    </row>
    <row r="39" spans="1:9" x14ac:dyDescent="0.25">
      <c r="A39" s="7">
        <v>18</v>
      </c>
      <c r="B39" s="8">
        <v>0.50302083333333303</v>
      </c>
      <c r="C39" s="30">
        <f t="shared" si="0"/>
        <v>0.50302339005384245</v>
      </c>
      <c r="D39" s="17">
        <f t="shared" si="2"/>
        <v>0.22090065201361142</v>
      </c>
      <c r="H39" s="11"/>
    </row>
    <row r="40" spans="1:9" x14ac:dyDescent="0.25">
      <c r="A40" s="7">
        <v>19</v>
      </c>
      <c r="B40" s="8">
        <v>0.50303240740740796</v>
      </c>
      <c r="C40" s="30">
        <f t="shared" si="0"/>
        <v>0.50303590435590195</v>
      </c>
      <c r="D40" s="17">
        <f t="shared" si="2"/>
        <v>0.30213634988136562</v>
      </c>
      <c r="H40" s="11"/>
    </row>
    <row r="41" spans="1:9" x14ac:dyDescent="0.25">
      <c r="A41" s="7">
        <v>20</v>
      </c>
      <c r="B41" s="8">
        <v>0.50304398148148144</v>
      </c>
      <c r="C41" s="30">
        <f t="shared" si="0"/>
        <v>0.50304841865796146</v>
      </c>
      <c r="D41" s="17">
        <f t="shared" si="2"/>
        <v>0.38337204787382007</v>
      </c>
      <c r="H41" s="11"/>
    </row>
    <row r="42" spans="1:9" x14ac:dyDescent="0.25">
      <c r="A42" s="16"/>
      <c r="B42" s="16"/>
      <c r="C42" s="15" t="s">
        <v>15</v>
      </c>
      <c r="D42" s="14">
        <f>SUM(D22:D41)</f>
        <v>5.9643089678392158</v>
      </c>
      <c r="H42" s="15" t="s">
        <v>15</v>
      </c>
      <c r="I42" s="14">
        <f>SUM(I22:I41)</f>
        <v>5.2851189499449447</v>
      </c>
    </row>
    <row r="43" spans="1:9" x14ac:dyDescent="0.25">
      <c r="B43" s="1"/>
      <c r="C43" s="11"/>
      <c r="D43" s="11"/>
    </row>
    <row r="44" spans="1:9" x14ac:dyDescent="0.25">
      <c r="H44" s="27" t="s">
        <v>23</v>
      </c>
      <c r="I44" s="26">
        <f>Sum_Diff1+Sum_Diff2</f>
        <v>11.249427917784161</v>
      </c>
    </row>
    <row r="45" spans="1:9" x14ac:dyDescent="0.25">
      <c r="H45" s="27"/>
      <c r="I45" s="26"/>
    </row>
    <row r="46" spans="1:9" x14ac:dyDescent="0.25">
      <c r="H46" s="27"/>
      <c r="I46" s="26"/>
    </row>
    <row r="51" spans="1:17" x14ac:dyDescent="0.25">
      <c r="A51" s="6" t="s">
        <v>0</v>
      </c>
      <c r="B51" s="6" t="s">
        <v>10</v>
      </c>
      <c r="C51" s="6" t="s">
        <v>2</v>
      </c>
      <c r="D51" s="6" t="s">
        <v>3</v>
      </c>
      <c r="E51" s="6" t="s">
        <v>1</v>
      </c>
      <c r="F51" s="6" t="s">
        <v>4</v>
      </c>
    </row>
    <row r="52" spans="1:17" x14ac:dyDescent="0.25">
      <c r="A52" s="7">
        <v>1</v>
      </c>
      <c r="B52" s="11">
        <f>VLOOKUP(A52,A22:B41,2)</f>
        <v>0.5028125</v>
      </c>
    </row>
    <row r="53" spans="1:17" x14ac:dyDescent="0.25">
      <c r="A53" s="7">
        <v>875</v>
      </c>
      <c r="B53" s="11">
        <f>VLOOKUP(A53,F22:G37,2)</f>
        <v>0.51375000000000004</v>
      </c>
      <c r="C53" s="1">
        <f>B53-B52</f>
        <v>1.0937500000000044E-2</v>
      </c>
      <c r="D53" s="3">
        <f>C53*24*3600</f>
        <v>945.00000000000387</v>
      </c>
      <c r="E53">
        <f>A53-A52</f>
        <v>874</v>
      </c>
      <c r="F53" s="5">
        <f>D53/E53</f>
        <v>1.0812356979405078</v>
      </c>
    </row>
    <row r="59" spans="1:17" x14ac:dyDescent="0.25">
      <c r="A59" s="6" t="s">
        <v>0</v>
      </c>
      <c r="B59" s="24" t="s">
        <v>22</v>
      </c>
    </row>
    <row r="60" spans="1:17" x14ac:dyDescent="0.25">
      <c r="A60">
        <v>0</v>
      </c>
      <c r="B60" s="30">
        <f>PhotTime1+(A60-No_1)*IncrTime/24/3600+Korrektur/24/3600</f>
        <v>0.50279813261677153</v>
      </c>
      <c r="D60" s="4" t="s">
        <v>12</v>
      </c>
    </row>
    <row r="61" spans="1:17" x14ac:dyDescent="0.25">
      <c r="A61" s="7">
        <v>900</v>
      </c>
      <c r="B61" s="30">
        <f>PhotTime1+(A61-No_1)*IncrTime/24/3600+Korrektur/24/3600</f>
        <v>0.51406100447031855</v>
      </c>
      <c r="D61" t="s">
        <v>11</v>
      </c>
    </row>
    <row r="63" spans="1:17" x14ac:dyDescent="0.25">
      <c r="J63" s="21" t="s">
        <v>20</v>
      </c>
      <c r="K63" s="23">
        <v>-0.1601062130003415</v>
      </c>
      <c r="M63" t="s">
        <v>19</v>
      </c>
      <c r="N63" s="22" t="s">
        <v>18</v>
      </c>
      <c r="O63" s="22"/>
    </row>
    <row r="64" spans="1:17" x14ac:dyDescent="0.25">
      <c r="J64" s="21" t="s">
        <v>17</v>
      </c>
      <c r="K64" s="20">
        <f>B60</f>
        <v>0.50279813261677153</v>
      </c>
      <c r="Q64" s="17"/>
    </row>
    <row r="65" spans="1:17" x14ac:dyDescent="0.25">
      <c r="M65" s="31" t="s">
        <v>16</v>
      </c>
      <c r="N65" s="31"/>
    </row>
    <row r="66" spans="1:17" x14ac:dyDescent="0.25">
      <c r="J66" s="4" t="s">
        <v>5</v>
      </c>
      <c r="K66" s="10">
        <f>$F$53</f>
        <v>1.0812356979405078</v>
      </c>
      <c r="L66" t="s">
        <v>8</v>
      </c>
      <c r="M66" s="32" t="s">
        <v>13</v>
      </c>
      <c r="N66" s="32"/>
      <c r="O66" s="32"/>
      <c r="P66" s="32"/>
      <c r="Q66" s="32"/>
    </row>
    <row r="67" spans="1:17" x14ac:dyDescent="0.25">
      <c r="J67" s="4" t="s">
        <v>6</v>
      </c>
      <c r="K67" s="13" t="str">
        <f>StartDate&amp;" "&amp;LEFT(TEXT(StartTime_corr,"hh:mm:ss.00"),8)</f>
        <v>2025:12:05 12:04:01</v>
      </c>
      <c r="L67" t="s">
        <v>8</v>
      </c>
      <c r="M67" s="32"/>
      <c r="N67" s="32"/>
      <c r="O67" s="32"/>
      <c r="P67" s="32"/>
      <c r="Q67" s="32"/>
    </row>
    <row r="68" spans="1:17" ht="15.75" x14ac:dyDescent="0.3">
      <c r="J68" s="4" t="s">
        <v>14</v>
      </c>
      <c r="K68" s="13" t="str">
        <f>RIGHT(TEXT(StartTime_corr,"hh:mm:ss.00"),2)</f>
        <v>76</v>
      </c>
      <c r="L68" t="s">
        <v>8</v>
      </c>
      <c r="M68" s="19" t="s">
        <v>24</v>
      </c>
      <c r="N68" s="18"/>
      <c r="O68" s="18"/>
      <c r="P68" s="18"/>
      <c r="Q68" s="18"/>
    </row>
    <row r="73" spans="1:17" x14ac:dyDescent="0.25">
      <c r="C73" s="1"/>
      <c r="D73" s="3"/>
      <c r="F73" s="5"/>
    </row>
    <row r="80" spans="1:17" x14ac:dyDescent="0.25">
      <c r="A80" s="1"/>
      <c r="B80" s="1"/>
      <c r="C80" s="1"/>
    </row>
  </sheetData>
  <mergeCells count="2">
    <mergeCell ref="M65:N65"/>
    <mergeCell ref="M66:Q67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18</vt:i4>
      </vt:variant>
    </vt:vector>
  </HeadingPairs>
  <TitlesOfParts>
    <vt:vector size="20" baseType="lpstr">
      <vt:lpstr>SimpleCalc</vt:lpstr>
      <vt:lpstr>SubSecCalc</vt:lpstr>
      <vt:lpstr>SimpleCalc!IncrTime</vt:lpstr>
      <vt:lpstr>SubSecCalc!IncrTime</vt:lpstr>
      <vt:lpstr>Korrektur</vt:lpstr>
      <vt:lpstr>SimpleCalc!No_1</vt:lpstr>
      <vt:lpstr>SubSecCalc!No_1</vt:lpstr>
      <vt:lpstr>SimpleCalc!No_2</vt:lpstr>
      <vt:lpstr>SubSecCalc!NO_2</vt:lpstr>
      <vt:lpstr>SimpleCalc!PhotTime1</vt:lpstr>
      <vt:lpstr>SubSecCalc!PhotTime1</vt:lpstr>
      <vt:lpstr>SimpleCalc!PhotTime2</vt:lpstr>
      <vt:lpstr>SubSecCalc!PhotTime2</vt:lpstr>
      <vt:lpstr>SubSecCalc!StartDate</vt:lpstr>
      <vt:lpstr>StartDate</vt:lpstr>
      <vt:lpstr>StartTime</vt:lpstr>
      <vt:lpstr>StartTime_corr</vt:lpstr>
      <vt:lpstr>SubSecCalc!Sum_Diff1</vt:lpstr>
      <vt:lpstr>SubSecCalc!Sum_Diff2</vt:lpstr>
      <vt:lpstr>SubSecCalc!TotSum_Diff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2025-12-27T20:49:41Z</dcterms:modified>
</cp:coreProperties>
</file>